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ładniki" sheetId="1" r:id="rId1"/>
    <sheet name="Podsumowanie" sheetId="2" r:id="rId2"/>
    <sheet name="Jak używać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2.83203125" customWidth="1"/>
    <col min="2" max="2" width="22.83203125" customWidth="1"/>
    <col min="3" max="3" width="15.83203125" customWidth="1"/>
    <col min="4" max="4" width="20.83203125" customWidth="1"/>
    <col min="5" max="5" width="22.83203125" customWidth="1"/>
  </cols>
  <sheetData>
    <row r="1">
      <c r="A1" t="str">
        <v>KALKULATOR FOOD COST — OneLink.app</v>
      </c>
    </row>
    <row r="3">
      <c r="A3" t="str">
        <v>DANIE</v>
      </c>
      <c r="B3" t="str">
        <v>SKŁADNIK</v>
      </c>
      <c r="C3" t="str">
        <v>ILOŚĆ (g/ml)</v>
      </c>
      <c r="D3" t="str">
        <v>CENA ZA KG/L (zł)</v>
      </c>
      <c r="E3" t="str">
        <v>KOSZT SKŁADNIKA (zł)</v>
      </c>
    </row>
    <row r="4">
      <c r="A4" t="str">
        <v>Burger klasyczny</v>
      </c>
      <c r="B4" t="str">
        <v>Bułka</v>
      </c>
      <c r="C4">
        <v>120</v>
      </c>
      <c r="D4">
        <v>8</v>
      </c>
      <c r="E4">
        <f>C4/1000*D4</f>
      </c>
    </row>
    <row r="5">
      <c r="A5" t="str">
        <v/>
      </c>
      <c r="B5" t="str">
        <v>Wołowina mielona</v>
      </c>
      <c r="C5">
        <v>180</v>
      </c>
      <c r="D5">
        <v>32</v>
      </c>
      <c r="E5">
        <f>C5/1000*D5</f>
      </c>
    </row>
    <row r="6">
      <c r="A6" t="str">
        <v/>
      </c>
      <c r="B6" t="str">
        <v>Sałata</v>
      </c>
      <c r="C6">
        <v>20</v>
      </c>
      <c r="D6">
        <v>6</v>
      </c>
      <c r="E6">
        <f>C6/1000*D6</f>
      </c>
    </row>
    <row r="7">
      <c r="A7" t="str">
        <v/>
      </c>
      <c r="B7" t="str">
        <v>Pomidor</v>
      </c>
      <c r="C7">
        <v>40</v>
      </c>
      <c r="D7">
        <v>7</v>
      </c>
      <c r="E7">
        <f>C7/1000*D7</f>
      </c>
    </row>
    <row r="8">
      <c r="A8" t="str">
        <v/>
      </c>
      <c r="B8" t="str">
        <v>Sos</v>
      </c>
      <c r="C8">
        <v>30</v>
      </c>
      <c r="D8">
        <v>12</v>
      </c>
      <c r="E8">
        <f>C8/1000*D8</f>
      </c>
    </row>
    <row r="10">
      <c r="A10" t="str">
        <v>Pizza Margherita</v>
      </c>
      <c r="B10" t="str">
        <v>Ciasto (mąka)</v>
      </c>
      <c r="C10">
        <v>200</v>
      </c>
      <c r="D10">
        <v>2.5</v>
      </c>
      <c r="E10">
        <f>C10/1000*D10</f>
      </c>
    </row>
    <row r="11">
      <c r="A11" t="str">
        <v/>
      </c>
      <c r="B11" t="str">
        <v>Sos pomidorowy</v>
      </c>
      <c r="C11">
        <v>80</v>
      </c>
      <c r="D11">
        <v>5</v>
      </c>
      <c r="E11">
        <f>C11/1000*D11</f>
      </c>
    </row>
    <row r="12">
      <c r="A12" t="str">
        <v/>
      </c>
      <c r="B12" t="str">
        <v>Mozzarella</v>
      </c>
      <c r="C12">
        <v>150</v>
      </c>
      <c r="D12">
        <v>28</v>
      </c>
      <c r="E12">
        <f>C12/1000*D12</f>
      </c>
    </row>
    <row r="13">
      <c r="A13" t="str">
        <v/>
      </c>
      <c r="B13" t="str">
        <v>Bazylia</v>
      </c>
      <c r="C13">
        <v>5</v>
      </c>
      <c r="D13">
        <v>40</v>
      </c>
      <c r="E13">
        <f>C13/1000*D13</f>
      </c>
    </row>
    <row r="15">
      <c r="A15" t="str">
        <v>Pasta Carbonara</v>
      </c>
      <c r="B15" t="str">
        <v>Makaron</v>
      </c>
      <c r="C15">
        <v>150</v>
      </c>
      <c r="D15">
        <v>4</v>
      </c>
      <c r="E15">
        <f>C15/1000*D15</f>
      </c>
    </row>
    <row r="16">
      <c r="A16" t="str">
        <v/>
      </c>
      <c r="B16" t="str">
        <v>Boczek</v>
      </c>
      <c r="C16">
        <v>80</v>
      </c>
      <c r="D16">
        <v>24</v>
      </c>
      <c r="E16">
        <f>C16/1000*D16</f>
      </c>
    </row>
    <row r="17">
      <c r="A17" t="str">
        <v/>
      </c>
      <c r="B17" t="str">
        <v>Jajka</v>
      </c>
      <c r="C17">
        <v>60</v>
      </c>
      <c r="D17">
        <v>8</v>
      </c>
      <c r="E17">
        <f>C17/1000*D17</f>
      </c>
    </row>
    <row r="18">
      <c r="A18" t="str">
        <v/>
      </c>
      <c r="B18" t="str">
        <v>Parmezan</v>
      </c>
      <c r="C18">
        <v>30</v>
      </c>
      <c r="D18">
        <v>60</v>
      </c>
      <c r="E18">
        <f>C18/1000*D18</f>
      </c>
    </row>
    <row r="19">
      <c r="A19" t="str">
        <v/>
      </c>
      <c r="B19" t="str">
        <v>Śmietana</v>
      </c>
      <c r="C19">
        <v>40</v>
      </c>
      <c r="D19">
        <v>8</v>
      </c>
      <c r="E19">
        <f>C19/1000*D19</f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16.83203125" customWidth="1"/>
    <col min="5" max="5" width="14.83203125" customWidth="1"/>
    <col min="6" max="6" width="16.83203125" customWidth="1"/>
  </cols>
  <sheetData>
    <row r="1">
      <c r="A1" t="str">
        <v>PODSUMOWANIE FOOD COST PER DANIE</v>
      </c>
    </row>
    <row r="3">
      <c r="A3" t="str">
        <v>DANIE</v>
      </c>
      <c r="B3" t="str">
        <v>KOSZT SKŁADNIKÓW (zł)</v>
      </c>
      <c r="C3" t="str">
        <v>CENA SPRZEDAŻY (zł)</v>
      </c>
      <c r="D3" t="str">
        <v>FOOD COST %</v>
      </c>
      <c r="E3" t="str">
        <v>MARŻA (zł)</v>
      </c>
      <c r="F3" t="str">
        <v>STATUS</v>
      </c>
    </row>
    <row r="4">
      <c r="A4" t="str">
        <v>Burger klasyczny</v>
      </c>
      <c r="B4">
        <f>SUM(Składniki!E4:E8)</f>
      </c>
      <c r="C4">
        <v>32</v>
      </c>
      <c r="D4">
        <f>B4/C4*100</f>
      </c>
      <c r="E4">
        <f>C4-B4</f>
      </c>
      <c r="F4">
        <f>IF(D4&lt;=30,"✅ OK",IF(D4&lt;=35,"⚠️ Uwaga","❌ Za wysoki"))</f>
      </c>
    </row>
    <row r="5">
      <c r="A5" t="str">
        <v>Pizza Margherita</v>
      </c>
      <c r="B5">
        <f>SUM(Składniki!E10:E13)</f>
      </c>
      <c r="C5">
        <v>38</v>
      </c>
      <c r="D5">
        <f>B5/C5*100</f>
      </c>
      <c r="E5">
        <f>C5-B5</f>
      </c>
      <c r="F5">
        <f>IF(D5&lt;=30,"✅ OK",IF(D5&lt;=35,"⚠️ Uwaga","❌ Za wysoki"))</f>
      </c>
    </row>
    <row r="6">
      <c r="A6" t="str">
        <v>Pasta Carbonara</v>
      </c>
      <c r="B6">
        <f>SUM(Składniki!E15:E19)</f>
      </c>
      <c r="C6">
        <v>36</v>
      </c>
      <c r="D6">
        <f>B6/C6*100</f>
      </c>
      <c r="E6">
        <f>C6-B6</f>
      </c>
      <c r="F6">
        <f>IF(D6&lt;=30,"✅ OK",IF(D6&lt;=35,"⚠️ Uwaga","❌ Za wysoki"))</f>
      </c>
    </row>
    <row r="8">
      <c r="A8" t="str">
        <v>ŚREDNI FOOD COST:</v>
      </c>
      <c r="B8" t="str">
        <v/>
      </c>
      <c r="C8" t="str">
        <v/>
      </c>
      <c r="D8">
        <f>AVERAGE(D4:D6)</f>
      </c>
      <c r="E8" t="str">
        <v/>
      </c>
      <c r="F8" t="str">
        <v/>
      </c>
    </row>
    <row r="10">
      <c r="A10" t="str">
        <v>💡 BENCHMARKI BRANŻOWE:</v>
      </c>
    </row>
    <row r="11">
      <c r="A11" t="str">
        <v>Fast food / burger:</v>
      </c>
      <c r="B11" t="str">
        <v>28–32%</v>
      </c>
    </row>
    <row r="12">
      <c r="A12" t="str">
        <v>Pizza:</v>
      </c>
      <c r="B12" t="str">
        <v>25–30%</v>
      </c>
    </row>
    <row r="13">
      <c r="A13" t="str">
        <v>Fine dining:</v>
      </c>
      <c r="B13" t="str">
        <v>28–35%</v>
      </c>
    </row>
    <row r="14">
      <c r="A14" t="str">
        <v>Bar / przekąski:</v>
      </c>
      <c r="B14" t="str">
        <v>20–28%</v>
      </c>
    </row>
    <row r="16">
      <c r="A16" t="str">
        <v>🎯 CEL: Food cost poniżej 30% = zdrowa marża</v>
      </c>
    </row>
    <row r="17">
      <c r="A17" t="str">
        <v>⚠️  Food cost 30–35% = do obserwacji</v>
      </c>
    </row>
    <row r="18">
      <c r="A18" t="str">
        <v>❌  Food cost powyżej 35% = strata na daniu</v>
      </c>
    </row>
  </sheetData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60.83203125" customWidth="1"/>
  </cols>
  <sheetData>
    <row r="1">
      <c r="A1" t="str">
        <v>JAK UŻYWAĆ KALKULATORA FOOD COST</v>
      </c>
    </row>
    <row r="3">
      <c r="A3" t="str">
        <v>1. Zakładka "Składniki"</v>
      </c>
    </row>
    <row r="4">
      <c r="A4" t="str">
        <v xml:space="preserve">   → Wpisz nazwę dania w kolumnie A</v>
      </c>
    </row>
    <row r="5">
      <c r="A5" t="str">
        <v xml:space="preserve">   → Wpisz każdy składnik i jego ilość w gramach/ml</v>
      </c>
    </row>
    <row r="6">
      <c r="A6" t="str">
        <v xml:space="preserve">   → Wpisz aktualną cenę zakupu za kg lub litr</v>
      </c>
    </row>
    <row r="7">
      <c r="A7" t="str">
        <v xml:space="preserve">   → Kolumna E (Koszt) oblicza się automatycznie</v>
      </c>
    </row>
    <row r="9">
      <c r="A9" t="str">
        <v>2. Zakładka "Podsumowanie"</v>
      </c>
    </row>
    <row r="10">
      <c r="A10" t="str">
        <v xml:space="preserve">   → Wpisz cenę sprzedaży dania (ile klient płaci)</v>
      </c>
    </row>
    <row r="11">
      <c r="A11" t="str">
        <v xml:space="preserve">   → Food cost % oblicza się automatycznie</v>
      </c>
    </row>
    <row r="12">
      <c r="A12" t="str">
        <v xml:space="preserve">   → Kolumna "Status" sygnalizuje czy food cost jest OK</v>
      </c>
    </row>
    <row r="14">
      <c r="A14" t="str">
        <v>3. Optymalizacja</v>
      </c>
    </row>
    <row r="15">
      <c r="A15" t="str">
        <v xml:space="preserve">   → Dania z ❌ Za wysoki — zmień przepis, dostawcę lub cenę</v>
      </c>
    </row>
    <row r="16">
      <c r="A16" t="str">
        <v xml:space="preserve">   → Dania z ⚠️ Uwaga — monitoruj i szukaj tańszych zamienników</v>
      </c>
    </row>
    <row r="17">
      <c r="A17" t="str">
        <v xml:space="preserve">   → Dania z ✅ OK — zachowaj recepturę i marżę</v>
      </c>
    </row>
    <row r="19">
      <c r="A19" t="str">
        <v>━━━━━━━━━━━━━━━━━━━━━━━━━━━━━━━━━━━━━━━━━━━━━━━━━━━━━━━━━━</v>
      </c>
    </row>
    <row r="20">
      <c r="A20" t="str">
        <v>Chcesz obliczać food cost automatycznie z danych sprzedaży?</v>
      </c>
    </row>
    <row r="21">
      <c r="A21" t="str">
        <v>Wypróbuj OneLink — 7 dni za darmo: https://onelink.app</v>
      </c>
    </row>
    <row r="22">
      <c r="A22" t="str">
        <v>━━━━━━━━━━━━━━━━━━━━━━━━━━━━━━━━━━━━━━━━━━━━━━━━━━━━━━━━━━</v>
      </c>
    </row>
  </sheetData>
  <ignoredErrors>
    <ignoredError numberStoredAsText="1" sqref="A1:A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Składniki</vt:lpstr>
      <vt:lpstr>Podsumowanie</vt:lpstr>
      <vt:lpstr>Jak używać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